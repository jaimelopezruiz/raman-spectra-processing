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.docs.live.net/ce7bac70211bc540/Documents/Oxford 2025/03 Data/08 Stress Mapping/"/>
    </mc:Choice>
  </mc:AlternateContent>
  <xr:revisionPtr revIDLastSave="3" documentId="8_{6EF28A25-34C0-4B04-9090-06C9CECEFA49}" xr6:coauthVersionLast="47" xr6:coauthVersionMax="47" xr10:uidLastSave="{123C2EC5-D8AD-4FD7-9D9D-AE94747798AF}"/>
  <bookViews>
    <workbookView xWindow="-108" yWindow="-108" windowWidth="23256" windowHeight="12456" xr2:uid="{58832599-5650-413D-8A88-A2D9302C11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O42" i="1"/>
  <c r="M45" i="1"/>
  <c r="M46" i="1"/>
  <c r="M44" i="1"/>
  <c r="L42" i="1"/>
  <c r="L43" i="1"/>
  <c r="N42" i="1"/>
  <c r="N43" i="1"/>
  <c r="M43" i="1"/>
  <c r="M42" i="1"/>
  <c r="M41" i="1"/>
  <c r="Q8" i="1"/>
  <c r="L17" i="1" s="1"/>
  <c r="M19" i="1" l="1"/>
  <c r="N17" i="1"/>
  <c r="M16" i="1"/>
  <c r="M18" i="1"/>
  <c r="M17" i="1"/>
  <c r="K19" i="1"/>
  <c r="J18" i="1"/>
  <c r="L16" i="1"/>
  <c r="L19" i="1"/>
  <c r="L18" i="1"/>
</calcChain>
</file>

<file path=xl/sharedStrings.xml><?xml version="1.0" encoding="utf-8"?>
<sst xmlns="http://schemas.openxmlformats.org/spreadsheetml/2006/main" count="5" uniqueCount="5">
  <si>
    <t>2.5 dpa 300ºC</t>
  </si>
  <si>
    <t>0.25 dpa 750ºC</t>
  </si>
  <si>
    <t>Peak positions</t>
  </si>
  <si>
    <t>Reference</t>
  </si>
  <si>
    <t xml:space="preserve">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</si>
</sst>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0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</xdr:row>
      <xdr:rowOff>65392</xdr:rowOff>
    </xdr:from>
    <xdr:to>
      <xdr:col>7</xdr:col>
      <xdr:colOff>175260</xdr:colOff>
      <xdr:row>18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CFEEF-CD60-7CF6-8FA9-DA8AE0814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431152"/>
          <a:ext cx="3718560" cy="289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160020</xdr:colOff>
      <xdr:row>25</xdr:row>
      <xdr:rowOff>60960</xdr:rowOff>
    </xdr:from>
    <xdr:to>
      <xdr:col>9</xdr:col>
      <xdr:colOff>118442</xdr:colOff>
      <xdr:row>46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AF075-8DF5-98DA-112F-68A82B11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4632960"/>
          <a:ext cx="4835222" cy="378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0578-0B8E-4EB7-9F65-44263B6F9D15}">
  <dimension ref="J3:V47"/>
  <sheetViews>
    <sheetView tabSelected="1" topLeftCell="A18" zoomScaleNormal="100" workbookViewId="0">
      <selection activeCell="Q46" sqref="Q46"/>
    </sheetView>
  </sheetViews>
  <sheetFormatPr defaultRowHeight="14.45"/>
  <sheetData>
    <row r="3" spans="10:20">
      <c r="L3" s="2" t="s">
        <v>0</v>
      </c>
    </row>
    <row r="8" spans="10:20">
      <c r="L8">
        <v>774.5</v>
      </c>
      <c r="M8">
        <v>770.8</v>
      </c>
      <c r="Q8">
        <f>MAX(J8:N11)</f>
        <v>787</v>
      </c>
      <c r="R8">
        <v>788.72</v>
      </c>
      <c r="S8">
        <v>788.72</v>
      </c>
      <c r="T8">
        <v>788.72</v>
      </c>
    </row>
    <row r="9" spans="10:20">
      <c r="L9" s="1">
        <v>774.5</v>
      </c>
      <c r="M9">
        <v>772.6</v>
      </c>
      <c r="N9">
        <v>770.8</v>
      </c>
      <c r="Q9">
        <v>788.72</v>
      </c>
      <c r="R9">
        <v>788.72</v>
      </c>
      <c r="S9">
        <v>788.72</v>
      </c>
      <c r="T9">
        <v>788.72</v>
      </c>
    </row>
    <row r="10" spans="10:20">
      <c r="J10">
        <v>769</v>
      </c>
      <c r="L10">
        <v>774.4</v>
      </c>
      <c r="M10">
        <v>772.6</v>
      </c>
      <c r="Q10">
        <v>788.72</v>
      </c>
      <c r="R10">
        <v>788.72</v>
      </c>
      <c r="S10">
        <v>788.72</v>
      </c>
      <c r="T10">
        <v>788.72</v>
      </c>
    </row>
    <row r="11" spans="10:20">
      <c r="K11">
        <v>770.8</v>
      </c>
      <c r="L11">
        <v>769</v>
      </c>
      <c r="M11">
        <v>787</v>
      </c>
      <c r="Q11">
        <v>788.72</v>
      </c>
      <c r="R11">
        <v>788.72</v>
      </c>
      <c r="S11">
        <v>788.72</v>
      </c>
      <c r="T11">
        <v>788.72</v>
      </c>
    </row>
    <row r="12" spans="10:20">
      <c r="Q12">
        <v>788.72</v>
      </c>
      <c r="R12">
        <v>788.72</v>
      </c>
      <c r="S12">
        <v>788.72</v>
      </c>
      <c r="T12">
        <v>788.72</v>
      </c>
    </row>
    <row r="16" spans="10:20">
      <c r="L16">
        <f>(Q$8-L8)*370.4</f>
        <v>4630</v>
      </c>
      <c r="M16">
        <f t="shared" ref="M16" si="0">(R$8-M8)*370.4</f>
        <v>6637.5680000000266</v>
      </c>
    </row>
    <row r="17" spans="10:22">
      <c r="L17">
        <f t="shared" ref="L17:L19" si="1">(Q$8-L9)*370.4</f>
        <v>4630</v>
      </c>
      <c r="M17">
        <f t="shared" ref="M17:N18" si="2">(R$8-M9)*370.4</f>
        <v>5970.8480000000009</v>
      </c>
      <c r="N17">
        <f t="shared" si="2"/>
        <v>6637.5680000000266</v>
      </c>
    </row>
    <row r="18" spans="10:22">
      <c r="J18">
        <f>(Q$8-J10)*370.4</f>
        <v>6667.2</v>
      </c>
      <c r="L18">
        <f t="shared" si="1"/>
        <v>4667.0400000000081</v>
      </c>
      <c r="M18">
        <f t="shared" si="2"/>
        <v>5970.8480000000009</v>
      </c>
    </row>
    <row r="19" spans="10:22">
      <c r="K19">
        <f>(Q$8-K11)*370.4</f>
        <v>6000.4800000000168</v>
      </c>
      <c r="L19">
        <f t="shared" si="1"/>
        <v>6667.2</v>
      </c>
      <c r="M19">
        <f>(R$8-M11)*370.4</f>
        <v>637.08800000001008</v>
      </c>
    </row>
    <row r="24" spans="10:22">
      <c r="N24" s="2" t="s">
        <v>1</v>
      </c>
    </row>
    <row r="28" spans="10:22">
      <c r="M28" t="s">
        <v>2</v>
      </c>
      <c r="T28" t="s">
        <v>3</v>
      </c>
    </row>
    <row r="30" spans="10:22">
      <c r="K30" s="5"/>
      <c r="L30" s="5"/>
      <c r="M30" s="3"/>
      <c r="N30" s="3"/>
      <c r="O30" s="5"/>
      <c r="P30" s="5"/>
    </row>
    <row r="31" spans="10:22">
      <c r="K31" s="5"/>
      <c r="L31" s="3"/>
      <c r="M31" s="7">
        <v>785.14</v>
      </c>
      <c r="N31" s="7"/>
      <c r="O31" s="3"/>
      <c r="P31" s="5"/>
      <c r="S31" s="3"/>
      <c r="T31" s="7">
        <v>788.72</v>
      </c>
      <c r="U31" s="7"/>
      <c r="V31" s="3"/>
    </row>
    <row r="32" spans="10:22">
      <c r="K32" s="5"/>
      <c r="L32" s="4">
        <v>786</v>
      </c>
      <c r="M32" s="4">
        <v>788.7</v>
      </c>
      <c r="N32" s="4">
        <v>788.75</v>
      </c>
      <c r="O32" s="4">
        <v>785</v>
      </c>
      <c r="P32" s="5"/>
      <c r="S32" s="4">
        <v>788.72</v>
      </c>
      <c r="T32" s="4">
        <v>788.72</v>
      </c>
      <c r="U32" s="4">
        <v>788.72</v>
      </c>
      <c r="V32" s="4">
        <v>788.72</v>
      </c>
    </row>
    <row r="33" spans="11:22">
      <c r="K33" s="5"/>
      <c r="L33" s="4">
        <v>786.9</v>
      </c>
      <c r="M33" s="4">
        <v>786.93</v>
      </c>
      <c r="N33" s="4">
        <v>788.72</v>
      </c>
      <c r="O33" s="4">
        <v>786.93</v>
      </c>
      <c r="P33" s="5"/>
      <c r="S33" s="4">
        <v>788.72</v>
      </c>
      <c r="T33" s="4">
        <v>788.72</v>
      </c>
      <c r="U33" s="4">
        <v>788.72</v>
      </c>
      <c r="V33" s="4">
        <v>788.72</v>
      </c>
    </row>
    <row r="34" spans="11:22">
      <c r="K34" s="3"/>
      <c r="L34" s="3"/>
      <c r="M34" s="8">
        <v>786.95</v>
      </c>
      <c r="N34" s="9"/>
      <c r="O34" s="3"/>
      <c r="P34" s="5"/>
      <c r="S34" s="3"/>
      <c r="T34" s="8">
        <v>788.72</v>
      </c>
      <c r="U34" s="9"/>
      <c r="V34" s="3"/>
    </row>
    <row r="35" spans="11:22">
      <c r="K35" s="3"/>
      <c r="L35" s="3"/>
      <c r="M35" s="8">
        <v>786.95</v>
      </c>
      <c r="N35" s="9"/>
      <c r="O35" s="3"/>
      <c r="S35" s="3"/>
      <c r="T35" s="8">
        <v>788.72</v>
      </c>
      <c r="U35" s="9"/>
      <c r="V35" s="3"/>
    </row>
    <row r="36" spans="11:22">
      <c r="K36" s="6"/>
      <c r="L36" s="3"/>
      <c r="M36" s="8">
        <v>787.71</v>
      </c>
      <c r="N36" s="9"/>
      <c r="O36" s="3"/>
      <c r="S36" s="3"/>
      <c r="T36" s="8">
        <v>788.72</v>
      </c>
      <c r="U36" s="9"/>
      <c r="V36" s="3"/>
    </row>
    <row r="37" spans="11:22">
      <c r="K37" s="6"/>
      <c r="L37" s="3"/>
      <c r="M37" s="3"/>
      <c r="N37" s="3"/>
      <c r="O37" s="3"/>
    </row>
    <row r="39" spans="11:22">
      <c r="M39" t="s">
        <v>4</v>
      </c>
    </row>
    <row r="40" spans="11:22">
      <c r="K40" s="5"/>
      <c r="L40" s="5"/>
      <c r="M40" s="3"/>
      <c r="N40" s="3"/>
      <c r="O40" s="5"/>
      <c r="P40" s="5"/>
    </row>
    <row r="41" spans="11:22">
      <c r="K41" s="5"/>
      <c r="L41" s="3"/>
      <c r="M41" s="7">
        <f>(T31-M31)*370.4</f>
        <v>1326.0320000000152</v>
      </c>
      <c r="N41" s="7"/>
      <c r="O41" s="3"/>
      <c r="P41" s="5"/>
    </row>
    <row r="42" spans="11:22">
      <c r="K42" s="5"/>
      <c r="L42" s="4">
        <f>(S32-L32)*370.4</f>
        <v>1007.4880000000101</v>
      </c>
      <c r="M42" s="4">
        <f>(T32-M32)*370.4</f>
        <v>7.4079999999932618</v>
      </c>
      <c r="N42" s="4">
        <f>(U32-N32)*370.4</f>
        <v>-11.111999999989893</v>
      </c>
      <c r="O42" s="4">
        <f>(V32-O32)*370.4</f>
        <v>1377.8880000000099</v>
      </c>
      <c r="P42" s="5"/>
    </row>
    <row r="43" spans="11:22">
      <c r="K43" s="5"/>
      <c r="L43" s="4">
        <f>(S33-L33)*370.4</f>
        <v>674.12800000001846</v>
      </c>
      <c r="M43" s="4">
        <f>(T33-M33)*370.4</f>
        <v>663.01600000002861</v>
      </c>
      <c r="N43" s="4">
        <f>(U33-N33)*370.4</f>
        <v>0</v>
      </c>
      <c r="O43" s="4">
        <f>(V33-O33)*370.4</f>
        <v>663.01600000002861</v>
      </c>
      <c r="P43" s="5"/>
    </row>
    <row r="44" spans="11:22">
      <c r="K44" s="3"/>
      <c r="L44" s="3"/>
      <c r="M44" s="7">
        <f>(T34-M34)*370.4</f>
        <v>655.60799999999324</v>
      </c>
      <c r="N44" s="7"/>
      <c r="O44" s="3"/>
      <c r="P44" s="5"/>
    </row>
    <row r="45" spans="11:22">
      <c r="K45" s="3"/>
      <c r="L45" s="3"/>
      <c r="M45" s="7">
        <f t="shared" ref="M45:M46" si="3">(T35-M35)*370.4</f>
        <v>655.60799999999324</v>
      </c>
      <c r="N45" s="7"/>
      <c r="O45" s="3"/>
    </row>
    <row r="46" spans="11:22">
      <c r="K46" s="6"/>
      <c r="L46" s="3"/>
      <c r="M46" s="7">
        <f t="shared" si="3"/>
        <v>374.10399999999663</v>
      </c>
      <c r="N46" s="7"/>
      <c r="O46" s="3"/>
    </row>
    <row r="47" spans="11:22">
      <c r="K47" s="6"/>
      <c r="L47" s="3"/>
      <c r="M47" s="3"/>
      <c r="N47" s="3"/>
      <c r="O47" s="3"/>
    </row>
  </sheetData>
  <mergeCells count="12">
    <mergeCell ref="T31:U31"/>
    <mergeCell ref="T34:U34"/>
    <mergeCell ref="T35:U35"/>
    <mergeCell ref="T36:U36"/>
    <mergeCell ref="M41:N41"/>
    <mergeCell ref="M44:N44"/>
    <mergeCell ref="M45:N45"/>
    <mergeCell ref="M46:N46"/>
    <mergeCell ref="M31:N31"/>
    <mergeCell ref="M34:N34"/>
    <mergeCell ref="M35:N35"/>
    <mergeCell ref="M36:N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 Ruiz, Jaime</dc:creator>
  <cp:keywords/>
  <dc:description/>
  <cp:lastModifiedBy>Jaime Lopez</cp:lastModifiedBy>
  <cp:revision/>
  <dcterms:created xsi:type="dcterms:W3CDTF">2025-07-23T19:06:38Z</dcterms:created>
  <dcterms:modified xsi:type="dcterms:W3CDTF">2026-07-22T09:58:21Z</dcterms:modified>
  <cp:category/>
  <cp:contentStatus/>
</cp:coreProperties>
</file>