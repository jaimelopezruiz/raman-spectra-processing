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e7bac70211bc540/Documents/Oxford 2025/03 Data/02 Irradiated/Refel FINAL/"/>
    </mc:Choice>
  </mc:AlternateContent>
  <xr:revisionPtr revIDLastSave="96" documentId="8_{B497C26F-969C-4C43-B79D-4717A5BF0EA9}" xr6:coauthVersionLast="47" xr6:coauthVersionMax="47" xr10:uidLastSave="{55CE6007-9C02-4C33-AFEA-102C0F65FE64}"/>
  <bookViews>
    <workbookView xWindow="-108" yWindow="-108" windowWidth="23256" windowHeight="12456" xr2:uid="{78524713-0BF1-4C82-9C8D-865BDE894CE1}"/>
  </bookViews>
  <sheets>
    <sheet name="Parameters Combin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1" l="1"/>
  <c r="D30" i="1"/>
  <c r="D29" i="1"/>
  <c r="G28" i="1"/>
  <c r="G27" i="1"/>
  <c r="D27" i="1"/>
  <c r="G26" i="1"/>
  <c r="D26" i="1"/>
  <c r="E17" i="1"/>
  <c r="G25" i="1"/>
  <c r="D25" i="1"/>
</calcChain>
</file>

<file path=xl/sharedStrings.xml><?xml version="1.0" encoding="utf-8"?>
<sst xmlns="http://schemas.openxmlformats.org/spreadsheetml/2006/main" count="147" uniqueCount="21">
  <si>
    <t>Peak</t>
  </si>
  <si>
    <t>Model</t>
  </si>
  <si>
    <t>Center (cm-1)</t>
  </si>
  <si>
    <t>FWHM (cm-1)</t>
  </si>
  <si>
    <t>Area</t>
  </si>
  <si>
    <t>Relative Intensity</t>
  </si>
  <si>
    <t>voigt</t>
  </si>
  <si>
    <t>gauss</t>
  </si>
  <si>
    <t>bwf</t>
  </si>
  <si>
    <t>lorentz</t>
  </si>
  <si>
    <t>Ne 2.5 300</t>
  </si>
  <si>
    <t>Unirradiated</t>
  </si>
  <si>
    <t>Si 2.5 300</t>
  </si>
  <si>
    <t>Si 0.25 300</t>
  </si>
  <si>
    <t>Si 0.25 750</t>
  </si>
  <si>
    <t>Si 2.5 750</t>
  </si>
  <si>
    <t>Unirr</t>
  </si>
  <si>
    <t>NORMALISED</t>
  </si>
  <si>
    <t>TO</t>
  </si>
  <si>
    <t>LO</t>
  </si>
  <si>
    <t>FWHM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</si>
</sst>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/>
    <xf numFmtId="0" fontId="0" fillId="33" borderId="0" xfId="0" applyFill="1" applyAlignment="1">
      <alignment horizontal="center"/>
    </xf>
    <xf numFmtId="0" fontId="16" fillId="0" borderId="10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75DFB-76CF-4827-B19B-A04F8980A057}">
  <dimension ref="B2:AU30"/>
  <sheetViews>
    <sheetView tabSelected="1" topLeftCell="A3" zoomScaleNormal="100" workbookViewId="0">
      <selection activeCell="D29" sqref="D29"/>
    </sheetView>
  </sheetViews>
  <sheetFormatPr defaultRowHeight="14.4" x14ac:dyDescent="0.3"/>
  <cols>
    <col min="2" max="2" width="9.77734375" customWidth="1"/>
  </cols>
  <sheetData>
    <row r="2" spans="2:47" x14ac:dyDescent="0.3">
      <c r="B2" s="2" t="s">
        <v>17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</row>
    <row r="3" spans="2:47" x14ac:dyDescent="0.3">
      <c r="B3" s="3" t="s">
        <v>11</v>
      </c>
      <c r="C3" s="3"/>
      <c r="D3" s="3"/>
      <c r="E3" s="3"/>
      <c r="F3" s="3"/>
      <c r="G3" s="3"/>
      <c r="J3" s="3" t="s">
        <v>10</v>
      </c>
      <c r="K3" s="3"/>
      <c r="L3" s="3"/>
      <c r="M3" s="3"/>
      <c r="N3" s="3"/>
      <c r="O3" s="3"/>
      <c r="R3" s="3" t="s">
        <v>12</v>
      </c>
      <c r="S3" s="3"/>
      <c r="T3" s="3"/>
      <c r="U3" s="3"/>
      <c r="V3" s="3"/>
      <c r="W3" s="3"/>
      <c r="Z3" s="3" t="s">
        <v>13</v>
      </c>
      <c r="AA3" s="3"/>
      <c r="AB3" s="3"/>
      <c r="AC3" s="3"/>
      <c r="AD3" s="3"/>
      <c r="AE3" s="3"/>
      <c r="AH3" s="3" t="s">
        <v>15</v>
      </c>
      <c r="AI3" s="3"/>
      <c r="AJ3" s="3"/>
      <c r="AK3" s="3"/>
      <c r="AL3" s="3"/>
      <c r="AM3" s="3"/>
      <c r="AP3" s="3" t="s">
        <v>14</v>
      </c>
      <c r="AQ3" s="3"/>
      <c r="AR3" s="3"/>
      <c r="AS3" s="3"/>
      <c r="AT3" s="3"/>
      <c r="AU3" s="3"/>
    </row>
    <row r="4" spans="2:47" x14ac:dyDescent="0.3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J4" s="1" t="s">
        <v>0</v>
      </c>
      <c r="K4" s="1" t="s">
        <v>1</v>
      </c>
      <c r="L4" s="1" t="s">
        <v>2</v>
      </c>
      <c r="M4" s="1" t="s">
        <v>3</v>
      </c>
      <c r="N4" s="1" t="s">
        <v>4</v>
      </c>
      <c r="O4" s="1" t="s">
        <v>5</v>
      </c>
      <c r="R4" s="1" t="s">
        <v>0</v>
      </c>
      <c r="S4" s="1" t="s">
        <v>1</v>
      </c>
      <c r="T4" s="1" t="s">
        <v>2</v>
      </c>
      <c r="U4" s="1" t="s">
        <v>3</v>
      </c>
      <c r="V4" s="1" t="s">
        <v>4</v>
      </c>
      <c r="W4" s="1" t="s">
        <v>5</v>
      </c>
      <c r="Z4" s="1" t="s">
        <v>0</v>
      </c>
      <c r="AA4" s="1" t="s">
        <v>1</v>
      </c>
      <c r="AB4" s="1" t="s">
        <v>2</v>
      </c>
      <c r="AC4" s="1" t="s">
        <v>3</v>
      </c>
      <c r="AD4" s="1" t="s">
        <v>4</v>
      </c>
      <c r="AE4" s="1" t="s">
        <v>5</v>
      </c>
      <c r="AH4" s="1" t="s">
        <v>0</v>
      </c>
      <c r="AI4" s="1" t="s">
        <v>1</v>
      </c>
      <c r="AJ4" s="1" t="s">
        <v>2</v>
      </c>
      <c r="AK4" s="1" t="s">
        <v>3</v>
      </c>
      <c r="AL4" s="1" t="s">
        <v>4</v>
      </c>
      <c r="AM4" s="1" t="s">
        <v>5</v>
      </c>
      <c r="AP4" t="s">
        <v>0</v>
      </c>
      <c r="AQ4" s="1" t="s">
        <v>1</v>
      </c>
      <c r="AR4" s="1" t="s">
        <v>2</v>
      </c>
      <c r="AS4" s="1" t="s">
        <v>3</v>
      </c>
      <c r="AT4" s="1" t="s">
        <v>4</v>
      </c>
      <c r="AU4" s="1" t="s">
        <v>5</v>
      </c>
    </row>
    <row r="5" spans="2:47" x14ac:dyDescent="0.3">
      <c r="B5">
        <v>1</v>
      </c>
      <c r="C5" t="s">
        <v>9</v>
      </c>
      <c r="D5">
        <v>170.94</v>
      </c>
      <c r="E5">
        <v>5.62</v>
      </c>
      <c r="F5">
        <v>1.06</v>
      </c>
      <c r="G5">
        <v>0.126</v>
      </c>
      <c r="J5">
        <v>1</v>
      </c>
      <c r="K5" t="s">
        <v>6</v>
      </c>
      <c r="L5">
        <v>198.75</v>
      </c>
      <c r="M5">
        <v>68.38</v>
      </c>
      <c r="N5">
        <v>15.826000000000001</v>
      </c>
      <c r="O5">
        <v>0.2</v>
      </c>
      <c r="R5">
        <v>1</v>
      </c>
      <c r="S5" t="s">
        <v>6</v>
      </c>
      <c r="T5">
        <v>207.79</v>
      </c>
      <c r="U5">
        <v>59.73</v>
      </c>
      <c r="V5">
        <v>13.025</v>
      </c>
      <c r="W5">
        <v>0.19400000000000001</v>
      </c>
      <c r="Z5">
        <v>1</v>
      </c>
      <c r="AA5" t="s">
        <v>6</v>
      </c>
      <c r="AB5">
        <v>209.34</v>
      </c>
      <c r="AC5">
        <v>38.56</v>
      </c>
      <c r="AD5">
        <v>5.1890000000000001</v>
      </c>
      <c r="AE5">
        <v>0.111</v>
      </c>
      <c r="AH5">
        <v>1</v>
      </c>
      <c r="AI5" t="s">
        <v>6</v>
      </c>
      <c r="AJ5">
        <v>209.35</v>
      </c>
      <c r="AK5">
        <v>42.46</v>
      </c>
      <c r="AL5">
        <v>5.8220000000000001</v>
      </c>
      <c r="AM5">
        <v>0.114</v>
      </c>
      <c r="AP5">
        <v>1</v>
      </c>
      <c r="AQ5" t="s">
        <v>6</v>
      </c>
      <c r="AR5">
        <v>207.13</v>
      </c>
      <c r="AS5">
        <v>32.14</v>
      </c>
      <c r="AT5">
        <v>3.0219999999999998</v>
      </c>
      <c r="AU5">
        <v>7.5999999999999998E-2</v>
      </c>
    </row>
    <row r="6" spans="2:47" x14ac:dyDescent="0.3">
      <c r="B6">
        <v>2</v>
      </c>
      <c r="C6" t="s">
        <v>9</v>
      </c>
      <c r="D6">
        <v>252.86</v>
      </c>
      <c r="E6">
        <v>50.81</v>
      </c>
      <c r="F6">
        <v>1.27</v>
      </c>
      <c r="G6">
        <v>1.6E-2</v>
      </c>
      <c r="J6">
        <v>2</v>
      </c>
      <c r="K6" t="s">
        <v>6</v>
      </c>
      <c r="L6">
        <v>256.02</v>
      </c>
      <c r="M6">
        <v>109.17</v>
      </c>
      <c r="N6">
        <v>26.422999999999998</v>
      </c>
      <c r="O6">
        <v>0.2</v>
      </c>
      <c r="R6">
        <v>2</v>
      </c>
      <c r="S6" t="s">
        <v>6</v>
      </c>
      <c r="T6">
        <v>269.61</v>
      </c>
      <c r="U6">
        <v>76.099999999999994</v>
      </c>
      <c r="V6">
        <v>14.867000000000001</v>
      </c>
      <c r="W6">
        <v>0.156</v>
      </c>
      <c r="Z6">
        <v>2</v>
      </c>
      <c r="AA6" t="s">
        <v>6</v>
      </c>
      <c r="AB6">
        <v>272.07</v>
      </c>
      <c r="AC6">
        <v>107.74</v>
      </c>
      <c r="AD6">
        <v>27.835999999999999</v>
      </c>
      <c r="AE6">
        <v>0.214</v>
      </c>
      <c r="AH6">
        <v>2</v>
      </c>
      <c r="AI6" t="s">
        <v>6</v>
      </c>
      <c r="AJ6">
        <v>266.76</v>
      </c>
      <c r="AK6">
        <v>79.150000000000006</v>
      </c>
      <c r="AL6">
        <v>13.74</v>
      </c>
      <c r="AM6">
        <v>0.14000000000000001</v>
      </c>
      <c r="AP6">
        <v>2</v>
      </c>
      <c r="AQ6" t="s">
        <v>6</v>
      </c>
      <c r="AR6">
        <v>274.06</v>
      </c>
      <c r="AS6">
        <v>112.51</v>
      </c>
      <c r="AT6">
        <v>24.302</v>
      </c>
      <c r="AU6">
        <v>0.18</v>
      </c>
    </row>
    <row r="7" spans="2:47" x14ac:dyDescent="0.3">
      <c r="B7">
        <v>3</v>
      </c>
      <c r="C7" t="s">
        <v>9</v>
      </c>
      <c r="D7">
        <v>522.57000000000005</v>
      </c>
      <c r="E7">
        <v>19.14</v>
      </c>
      <c r="F7">
        <v>5.0430000000000001</v>
      </c>
      <c r="G7">
        <v>0.16800000000000001</v>
      </c>
      <c r="J7">
        <v>3</v>
      </c>
      <c r="K7" t="s">
        <v>6</v>
      </c>
      <c r="L7">
        <v>434.17</v>
      </c>
      <c r="M7">
        <v>30</v>
      </c>
      <c r="N7">
        <v>2.1360000000000001</v>
      </c>
      <c r="O7">
        <v>5.2999999999999999E-2</v>
      </c>
      <c r="R7">
        <v>3</v>
      </c>
      <c r="S7" t="s">
        <v>6</v>
      </c>
      <c r="T7">
        <v>518.92999999999995</v>
      </c>
      <c r="U7">
        <v>49.66</v>
      </c>
      <c r="V7">
        <v>13.275</v>
      </c>
      <c r="W7">
        <v>0.2</v>
      </c>
      <c r="Z7">
        <v>3</v>
      </c>
      <c r="AA7" t="s">
        <v>6</v>
      </c>
      <c r="AB7">
        <v>429.79</v>
      </c>
      <c r="AC7">
        <v>26.87</v>
      </c>
      <c r="AD7">
        <v>1.4610000000000001</v>
      </c>
      <c r="AE7">
        <v>0.04</v>
      </c>
      <c r="AH7">
        <v>3</v>
      </c>
      <c r="AI7" t="s">
        <v>6</v>
      </c>
      <c r="AJ7">
        <v>439.9</v>
      </c>
      <c r="AK7">
        <v>39.28</v>
      </c>
      <c r="AL7">
        <v>3.2669999999999999</v>
      </c>
      <c r="AM7">
        <v>6.2E-2</v>
      </c>
      <c r="AP7">
        <v>3</v>
      </c>
      <c r="AQ7" t="s">
        <v>6</v>
      </c>
      <c r="AR7">
        <v>435.53</v>
      </c>
      <c r="AS7">
        <v>27.89</v>
      </c>
      <c r="AT7">
        <v>2.0960000000000001</v>
      </c>
      <c r="AU7">
        <v>5.6000000000000001E-2</v>
      </c>
    </row>
    <row r="8" spans="2:47" x14ac:dyDescent="0.3">
      <c r="B8">
        <v>4</v>
      </c>
      <c r="C8" t="s">
        <v>9</v>
      </c>
      <c r="D8">
        <v>566.67999999999995</v>
      </c>
      <c r="E8">
        <v>21.02</v>
      </c>
      <c r="F8">
        <v>1.042</v>
      </c>
      <c r="G8">
        <v>3.2000000000000001E-2</v>
      </c>
      <c r="J8">
        <v>4</v>
      </c>
      <c r="K8" t="s">
        <v>7</v>
      </c>
      <c r="L8">
        <v>531.02</v>
      </c>
      <c r="M8">
        <v>71.849999999999994</v>
      </c>
      <c r="N8">
        <v>29.204999999999998</v>
      </c>
      <c r="O8">
        <v>0.38200000000000001</v>
      </c>
      <c r="R8">
        <v>4</v>
      </c>
      <c r="S8" t="s">
        <v>6</v>
      </c>
      <c r="T8">
        <v>552.51</v>
      </c>
      <c r="U8">
        <v>80.47</v>
      </c>
      <c r="V8">
        <v>35.926000000000002</v>
      </c>
      <c r="W8">
        <v>0.33700000000000002</v>
      </c>
      <c r="Z8">
        <v>4</v>
      </c>
      <c r="AA8" t="s">
        <v>6</v>
      </c>
      <c r="AB8">
        <v>499.3</v>
      </c>
      <c r="AC8">
        <v>2.5099999999999998</v>
      </c>
      <c r="AD8">
        <v>0.111</v>
      </c>
      <c r="AE8">
        <v>3.1E-2</v>
      </c>
      <c r="AH8">
        <v>4</v>
      </c>
      <c r="AI8" t="s">
        <v>6</v>
      </c>
      <c r="AJ8">
        <v>527.45000000000005</v>
      </c>
      <c r="AK8">
        <v>53.44</v>
      </c>
      <c r="AL8">
        <v>21.689</v>
      </c>
      <c r="AM8">
        <v>0.30399999999999999</v>
      </c>
      <c r="AP8">
        <v>4</v>
      </c>
      <c r="AQ8" t="s">
        <v>6</v>
      </c>
      <c r="AR8">
        <v>545.86</v>
      </c>
      <c r="AS8">
        <v>42.09</v>
      </c>
      <c r="AT8">
        <v>15.644</v>
      </c>
      <c r="AU8">
        <v>0.27700000000000002</v>
      </c>
    </row>
    <row r="9" spans="2:47" x14ac:dyDescent="0.3">
      <c r="B9">
        <v>5</v>
      </c>
      <c r="C9" t="s">
        <v>9</v>
      </c>
      <c r="D9">
        <v>768.38</v>
      </c>
      <c r="E9">
        <v>5.05</v>
      </c>
      <c r="F9">
        <v>3.1360000000000001</v>
      </c>
      <c r="G9">
        <v>0.40400000000000003</v>
      </c>
      <c r="J9">
        <v>5</v>
      </c>
      <c r="K9" t="s">
        <v>6</v>
      </c>
      <c r="L9">
        <v>590.71</v>
      </c>
      <c r="M9">
        <v>76.239999999999995</v>
      </c>
      <c r="N9">
        <v>21.791</v>
      </c>
      <c r="O9">
        <v>0.215</v>
      </c>
      <c r="R9">
        <v>5</v>
      </c>
      <c r="S9" t="s">
        <v>6</v>
      </c>
      <c r="T9">
        <v>626.54999999999995</v>
      </c>
      <c r="U9">
        <v>60.99</v>
      </c>
      <c r="V9">
        <v>8.7219999999999995</v>
      </c>
      <c r="W9">
        <v>0.107</v>
      </c>
      <c r="Z9">
        <v>5</v>
      </c>
      <c r="AA9" t="s">
        <v>6</v>
      </c>
      <c r="AB9">
        <v>532.02</v>
      </c>
      <c r="AC9">
        <v>48.35</v>
      </c>
      <c r="AD9">
        <v>19.733000000000001</v>
      </c>
      <c r="AE9">
        <v>0.30499999999999999</v>
      </c>
      <c r="AH9">
        <v>5</v>
      </c>
      <c r="AI9" t="s">
        <v>6</v>
      </c>
      <c r="AJ9">
        <v>567.45000000000005</v>
      </c>
      <c r="AK9">
        <v>57.04</v>
      </c>
      <c r="AL9">
        <v>18.417999999999999</v>
      </c>
      <c r="AM9">
        <v>0.24199999999999999</v>
      </c>
      <c r="AP9">
        <v>5</v>
      </c>
      <c r="AQ9" t="s">
        <v>6</v>
      </c>
      <c r="AR9">
        <v>520.42999999999995</v>
      </c>
      <c r="AS9">
        <v>27.77</v>
      </c>
      <c r="AT9">
        <v>11.975</v>
      </c>
      <c r="AU9">
        <v>0.32</v>
      </c>
    </row>
    <row r="10" spans="2:47" x14ac:dyDescent="0.3">
      <c r="B10">
        <v>6</v>
      </c>
      <c r="C10" t="s">
        <v>9</v>
      </c>
      <c r="D10">
        <v>784.5</v>
      </c>
      <c r="E10">
        <v>6.44</v>
      </c>
      <c r="F10">
        <v>10.029</v>
      </c>
      <c r="G10">
        <v>1.022</v>
      </c>
      <c r="J10">
        <v>6</v>
      </c>
      <c r="K10" t="s">
        <v>6</v>
      </c>
      <c r="L10">
        <v>650.01</v>
      </c>
      <c r="M10">
        <v>64.47</v>
      </c>
      <c r="N10">
        <v>17.457000000000001</v>
      </c>
      <c r="O10">
        <v>0.20300000000000001</v>
      </c>
      <c r="R10">
        <v>6</v>
      </c>
      <c r="S10" t="s">
        <v>6</v>
      </c>
      <c r="T10">
        <v>657.72</v>
      </c>
      <c r="U10">
        <v>22.73</v>
      </c>
      <c r="V10">
        <v>2.294</v>
      </c>
      <c r="W10">
        <v>7.4999999999999997E-2</v>
      </c>
      <c r="Z10">
        <v>6</v>
      </c>
      <c r="AA10" t="s">
        <v>6</v>
      </c>
      <c r="AB10">
        <v>575.25</v>
      </c>
      <c r="AC10">
        <v>77.900000000000006</v>
      </c>
      <c r="AD10">
        <v>23.977</v>
      </c>
      <c r="AE10">
        <v>0.23200000000000001</v>
      </c>
      <c r="AH10">
        <v>6</v>
      </c>
      <c r="AI10" t="s">
        <v>6</v>
      </c>
      <c r="AJ10">
        <v>667.14</v>
      </c>
      <c r="AK10">
        <v>16.329999999999998</v>
      </c>
      <c r="AL10">
        <v>1.7909999999999999</v>
      </c>
      <c r="AM10">
        <v>8.1000000000000003E-2</v>
      </c>
      <c r="AP10">
        <v>6</v>
      </c>
      <c r="AQ10" t="s">
        <v>6</v>
      </c>
      <c r="AR10">
        <v>578.91</v>
      </c>
      <c r="AS10">
        <v>59.07</v>
      </c>
      <c r="AT10">
        <v>15.772</v>
      </c>
      <c r="AU10">
        <v>0.2</v>
      </c>
    </row>
    <row r="11" spans="2:47" x14ac:dyDescent="0.3">
      <c r="B11">
        <v>7</v>
      </c>
      <c r="C11" t="s">
        <v>9</v>
      </c>
      <c r="D11">
        <v>795.28</v>
      </c>
      <c r="E11">
        <v>6.36</v>
      </c>
      <c r="F11">
        <v>3.181</v>
      </c>
      <c r="G11">
        <v>0.32700000000000001</v>
      </c>
      <c r="J11">
        <v>7</v>
      </c>
      <c r="K11" t="s">
        <v>7</v>
      </c>
      <c r="L11">
        <v>767.46</v>
      </c>
      <c r="M11">
        <v>113.03</v>
      </c>
      <c r="N11">
        <v>95.619</v>
      </c>
      <c r="O11">
        <v>0.79500000000000004</v>
      </c>
      <c r="R11">
        <v>7</v>
      </c>
      <c r="S11" t="s">
        <v>6</v>
      </c>
      <c r="T11">
        <v>769.85</v>
      </c>
      <c r="U11">
        <v>115.94</v>
      </c>
      <c r="V11">
        <v>125.627</v>
      </c>
      <c r="W11">
        <v>0.81899999999999995</v>
      </c>
      <c r="Z11">
        <v>7</v>
      </c>
      <c r="AA11" t="s">
        <v>6</v>
      </c>
      <c r="AB11">
        <v>658.86</v>
      </c>
      <c r="AC11">
        <v>53.86</v>
      </c>
      <c r="AD11">
        <v>11.175000000000001</v>
      </c>
      <c r="AE11">
        <v>0.155</v>
      </c>
      <c r="AH11">
        <v>7</v>
      </c>
      <c r="AI11" t="s">
        <v>6</v>
      </c>
      <c r="AJ11">
        <v>655.74</v>
      </c>
      <c r="AK11">
        <v>17</v>
      </c>
      <c r="AL11">
        <v>1.337</v>
      </c>
      <c r="AM11">
        <v>5.8000000000000003E-2</v>
      </c>
      <c r="AP11">
        <v>7</v>
      </c>
      <c r="AQ11" t="s">
        <v>6</v>
      </c>
      <c r="AR11">
        <v>662.02</v>
      </c>
      <c r="AS11">
        <v>30</v>
      </c>
      <c r="AT11">
        <v>6.7409999999999997</v>
      </c>
      <c r="AU11">
        <v>0.16700000000000001</v>
      </c>
    </row>
    <row r="12" spans="2:47" x14ac:dyDescent="0.3">
      <c r="B12">
        <v>8</v>
      </c>
      <c r="C12" t="s">
        <v>9</v>
      </c>
      <c r="D12">
        <v>976.28</v>
      </c>
      <c r="E12">
        <v>32.619999999999997</v>
      </c>
      <c r="F12">
        <v>8.15</v>
      </c>
      <c r="G12">
        <v>0.159</v>
      </c>
      <c r="J12">
        <v>8</v>
      </c>
      <c r="K12" t="s">
        <v>6</v>
      </c>
      <c r="L12">
        <v>839.23</v>
      </c>
      <c r="M12">
        <v>50.84</v>
      </c>
      <c r="N12">
        <v>23.129000000000001</v>
      </c>
      <c r="O12">
        <v>0.33800000000000002</v>
      </c>
      <c r="R12">
        <v>8</v>
      </c>
      <c r="S12" t="s">
        <v>6</v>
      </c>
      <c r="T12">
        <v>860.01</v>
      </c>
      <c r="U12">
        <v>67.77</v>
      </c>
      <c r="V12">
        <v>54.457000000000001</v>
      </c>
      <c r="W12">
        <v>0.6</v>
      </c>
      <c r="Z12">
        <v>8</v>
      </c>
      <c r="AA12" t="s">
        <v>9</v>
      </c>
      <c r="AB12">
        <v>766.16</v>
      </c>
      <c r="AC12">
        <v>3.58</v>
      </c>
      <c r="AD12">
        <v>6.3E-2</v>
      </c>
      <c r="AE12">
        <v>1.2999999999999999E-2</v>
      </c>
      <c r="AH12">
        <v>8</v>
      </c>
      <c r="AI12" t="s">
        <v>9</v>
      </c>
      <c r="AJ12">
        <v>767.39</v>
      </c>
      <c r="AK12">
        <v>9.3699999999999992</v>
      </c>
      <c r="AL12">
        <v>1.0229999999999999</v>
      </c>
      <c r="AM12">
        <v>7.0999999999999994E-2</v>
      </c>
      <c r="AP12">
        <v>8</v>
      </c>
      <c r="AQ12" t="s">
        <v>9</v>
      </c>
      <c r="AR12">
        <v>766.43</v>
      </c>
      <c r="AS12">
        <v>9.9700000000000006</v>
      </c>
      <c r="AT12">
        <v>1.6120000000000001</v>
      </c>
      <c r="AU12">
        <v>0.104</v>
      </c>
    </row>
    <row r="13" spans="2:47" x14ac:dyDescent="0.3">
      <c r="B13">
        <v>9</v>
      </c>
      <c r="C13" t="s">
        <v>9</v>
      </c>
      <c r="D13">
        <v>1523.03</v>
      </c>
      <c r="E13">
        <v>73.03</v>
      </c>
      <c r="F13">
        <v>5.7</v>
      </c>
      <c r="G13">
        <v>0.05</v>
      </c>
      <c r="J13">
        <v>9</v>
      </c>
      <c r="K13" t="s">
        <v>7</v>
      </c>
      <c r="L13">
        <v>876.14</v>
      </c>
      <c r="M13">
        <v>56.71</v>
      </c>
      <c r="N13">
        <v>36.216000000000001</v>
      </c>
      <c r="O13">
        <v>0.6</v>
      </c>
      <c r="R13">
        <v>9</v>
      </c>
      <c r="S13" t="s">
        <v>6</v>
      </c>
      <c r="T13">
        <v>902.75</v>
      </c>
      <c r="U13">
        <v>47.61</v>
      </c>
      <c r="V13">
        <v>35.735999999999997</v>
      </c>
      <c r="W13">
        <v>0.55800000000000005</v>
      </c>
      <c r="Z13">
        <v>9</v>
      </c>
      <c r="AA13" t="s">
        <v>9</v>
      </c>
      <c r="AB13">
        <v>829.85</v>
      </c>
      <c r="AC13">
        <v>30.14</v>
      </c>
      <c r="AD13">
        <v>5.6280000000000001</v>
      </c>
      <c r="AE13">
        <v>0.11899999999999999</v>
      </c>
      <c r="AH13">
        <v>9</v>
      </c>
      <c r="AI13" t="s">
        <v>9</v>
      </c>
      <c r="AJ13">
        <v>787.82</v>
      </c>
      <c r="AK13">
        <v>7.8</v>
      </c>
      <c r="AL13">
        <v>5.7759999999999998</v>
      </c>
      <c r="AM13">
        <v>0.48299999999999998</v>
      </c>
      <c r="AP13">
        <v>9</v>
      </c>
      <c r="AQ13" t="s">
        <v>9</v>
      </c>
      <c r="AR13">
        <v>787.72</v>
      </c>
      <c r="AS13">
        <v>7.75</v>
      </c>
      <c r="AT13">
        <v>4.4450000000000003</v>
      </c>
      <c r="AU13">
        <v>0.375</v>
      </c>
    </row>
    <row r="14" spans="2:47" x14ac:dyDescent="0.3">
      <c r="B14">
        <v>10</v>
      </c>
      <c r="C14" t="s">
        <v>9</v>
      </c>
      <c r="D14">
        <v>1710.78</v>
      </c>
      <c r="E14">
        <v>48.07</v>
      </c>
      <c r="F14">
        <v>1.623</v>
      </c>
      <c r="G14">
        <v>2.1000000000000001E-2</v>
      </c>
      <c r="J14">
        <v>10</v>
      </c>
      <c r="K14" t="s">
        <v>6</v>
      </c>
      <c r="L14">
        <v>914.21</v>
      </c>
      <c r="M14">
        <v>50.95</v>
      </c>
      <c r="N14">
        <v>41.101999999999997</v>
      </c>
      <c r="O14">
        <v>0.6</v>
      </c>
      <c r="R14">
        <v>10</v>
      </c>
      <c r="S14" t="s">
        <v>6</v>
      </c>
      <c r="T14">
        <v>930.51</v>
      </c>
      <c r="U14">
        <v>32.26</v>
      </c>
      <c r="V14">
        <v>23.526</v>
      </c>
      <c r="W14">
        <v>0.54100000000000004</v>
      </c>
      <c r="Z14">
        <v>10</v>
      </c>
      <c r="AA14" t="s">
        <v>9</v>
      </c>
      <c r="AB14">
        <v>791.05</v>
      </c>
      <c r="AC14">
        <v>34.15</v>
      </c>
      <c r="AD14">
        <v>6.0540000000000003</v>
      </c>
      <c r="AE14">
        <v>0.113</v>
      </c>
      <c r="AH14">
        <v>10</v>
      </c>
      <c r="AI14" t="s">
        <v>9</v>
      </c>
      <c r="AJ14">
        <v>797.51</v>
      </c>
      <c r="AK14">
        <v>7.99</v>
      </c>
      <c r="AL14">
        <v>2.4460000000000002</v>
      </c>
      <c r="AM14">
        <v>0.19800000000000001</v>
      </c>
      <c r="AP14">
        <v>10</v>
      </c>
      <c r="AQ14" t="s">
        <v>9</v>
      </c>
      <c r="AR14">
        <v>796.09</v>
      </c>
      <c r="AS14">
        <v>10.17</v>
      </c>
      <c r="AT14">
        <v>1.778</v>
      </c>
      <c r="AU14">
        <v>0.112</v>
      </c>
    </row>
    <row r="15" spans="2:47" x14ac:dyDescent="0.3">
      <c r="J15">
        <v>11</v>
      </c>
      <c r="K15" t="s">
        <v>6</v>
      </c>
      <c r="L15">
        <v>934.29</v>
      </c>
      <c r="M15">
        <v>32.9</v>
      </c>
      <c r="N15">
        <v>18.908999999999999</v>
      </c>
      <c r="O15">
        <v>0.42599999999999999</v>
      </c>
      <c r="R15">
        <v>11</v>
      </c>
      <c r="S15" t="s">
        <v>7</v>
      </c>
      <c r="T15">
        <v>1079.56</v>
      </c>
      <c r="U15">
        <v>71.959999999999994</v>
      </c>
      <c r="V15">
        <v>3.85</v>
      </c>
      <c r="W15">
        <v>0.05</v>
      </c>
      <c r="Z15">
        <v>11</v>
      </c>
      <c r="AA15" t="s">
        <v>7</v>
      </c>
      <c r="AB15">
        <v>768.42</v>
      </c>
      <c r="AC15">
        <v>95.82</v>
      </c>
      <c r="AD15">
        <v>70.331000000000003</v>
      </c>
      <c r="AE15">
        <v>0.69</v>
      </c>
      <c r="AH15">
        <v>11</v>
      </c>
      <c r="AI15" t="s">
        <v>7</v>
      </c>
      <c r="AJ15">
        <v>770.27</v>
      </c>
      <c r="AK15">
        <v>88.06</v>
      </c>
      <c r="AL15">
        <v>47.698</v>
      </c>
      <c r="AM15">
        <v>0.50900000000000001</v>
      </c>
      <c r="AP15">
        <v>11</v>
      </c>
      <c r="AQ15" t="s">
        <v>7</v>
      </c>
      <c r="AR15">
        <v>768.72</v>
      </c>
      <c r="AS15">
        <v>85.16</v>
      </c>
      <c r="AT15">
        <v>54.52</v>
      </c>
      <c r="AU15">
        <v>0.60099999999999998</v>
      </c>
    </row>
    <row r="16" spans="2:47" x14ac:dyDescent="0.3">
      <c r="C16" s="4"/>
      <c r="J16">
        <v>12</v>
      </c>
      <c r="K16" t="s">
        <v>7</v>
      </c>
      <c r="L16">
        <v>1069.3900000000001</v>
      </c>
      <c r="M16">
        <v>123.76</v>
      </c>
      <c r="N16">
        <v>9.0670000000000002</v>
      </c>
      <c r="O16">
        <v>6.9000000000000006E-2</v>
      </c>
      <c r="R16">
        <v>12</v>
      </c>
      <c r="S16" t="s">
        <v>9</v>
      </c>
      <c r="T16">
        <v>1390.55</v>
      </c>
      <c r="U16">
        <v>198.68</v>
      </c>
      <c r="V16">
        <v>66.096999999999994</v>
      </c>
      <c r="W16">
        <v>0.21</v>
      </c>
      <c r="Z16">
        <v>12</v>
      </c>
      <c r="AA16" t="s">
        <v>6</v>
      </c>
      <c r="AB16">
        <v>852.51</v>
      </c>
      <c r="AC16">
        <v>46.41</v>
      </c>
      <c r="AD16">
        <v>13.318</v>
      </c>
      <c r="AE16">
        <v>0.21299999999999999</v>
      </c>
      <c r="AH16">
        <v>12</v>
      </c>
      <c r="AI16" t="s">
        <v>6</v>
      </c>
      <c r="AJ16">
        <v>845.58</v>
      </c>
      <c r="AK16">
        <v>44.96</v>
      </c>
      <c r="AL16">
        <v>10.053000000000001</v>
      </c>
      <c r="AM16">
        <v>0.16600000000000001</v>
      </c>
      <c r="AP16">
        <v>12</v>
      </c>
      <c r="AQ16" t="s">
        <v>6</v>
      </c>
      <c r="AR16">
        <v>845.94</v>
      </c>
      <c r="AS16">
        <v>45.57</v>
      </c>
      <c r="AT16">
        <v>22.56</v>
      </c>
      <c r="AU16">
        <v>0.36799999999999999</v>
      </c>
    </row>
    <row r="17" spans="2:47" x14ac:dyDescent="0.3">
      <c r="C17" s="4"/>
      <c r="E17">
        <f>SUM(E12)</f>
        <v>32.619999999999997</v>
      </c>
      <c r="J17">
        <v>13</v>
      </c>
      <c r="K17" t="s">
        <v>8</v>
      </c>
      <c r="L17">
        <v>1375.17</v>
      </c>
      <c r="M17">
        <v>199.03</v>
      </c>
      <c r="N17">
        <v>57.787999999999997</v>
      </c>
      <c r="O17">
        <v>0.2</v>
      </c>
      <c r="R17">
        <v>13</v>
      </c>
      <c r="S17" t="s">
        <v>8</v>
      </c>
      <c r="T17">
        <v>1587.57</v>
      </c>
      <c r="U17">
        <v>126.35</v>
      </c>
      <c r="V17">
        <v>40.094999999999999</v>
      </c>
      <c r="W17">
        <v>0.19600000000000001</v>
      </c>
      <c r="Z17">
        <v>13</v>
      </c>
      <c r="AA17" t="s">
        <v>6</v>
      </c>
      <c r="AB17">
        <v>946.96</v>
      </c>
      <c r="AC17">
        <v>19.940000000000001</v>
      </c>
      <c r="AD17">
        <v>8.298</v>
      </c>
      <c r="AE17">
        <v>0.308</v>
      </c>
      <c r="AH17">
        <v>13</v>
      </c>
      <c r="AI17" t="s">
        <v>6</v>
      </c>
      <c r="AJ17">
        <v>950.88</v>
      </c>
      <c r="AK17">
        <v>19.47</v>
      </c>
      <c r="AL17">
        <v>7.9720000000000004</v>
      </c>
      <c r="AM17">
        <v>0.30299999999999999</v>
      </c>
      <c r="AP17">
        <v>13</v>
      </c>
      <c r="AQ17" t="s">
        <v>6</v>
      </c>
      <c r="AR17">
        <v>951.84</v>
      </c>
      <c r="AS17">
        <v>24.1</v>
      </c>
      <c r="AT17">
        <v>18.904</v>
      </c>
      <c r="AU17">
        <v>0.58099999999999996</v>
      </c>
    </row>
    <row r="18" spans="2:47" x14ac:dyDescent="0.3">
      <c r="J18">
        <v>14</v>
      </c>
      <c r="K18" t="s">
        <v>9</v>
      </c>
      <c r="L18">
        <v>1449.85</v>
      </c>
      <c r="M18">
        <v>198.84</v>
      </c>
      <c r="N18">
        <v>13.119</v>
      </c>
      <c r="O18">
        <v>4.2000000000000003E-2</v>
      </c>
      <c r="Z18">
        <v>14</v>
      </c>
      <c r="AA18" t="s">
        <v>6</v>
      </c>
      <c r="AB18">
        <v>933.9</v>
      </c>
      <c r="AC18">
        <v>22.48</v>
      </c>
      <c r="AD18">
        <v>9.8369999999999997</v>
      </c>
      <c r="AE18">
        <v>0.32400000000000001</v>
      </c>
      <c r="AH18">
        <v>14</v>
      </c>
      <c r="AI18" t="s">
        <v>6</v>
      </c>
      <c r="AJ18">
        <v>938.56</v>
      </c>
      <c r="AK18">
        <v>23.08</v>
      </c>
      <c r="AL18">
        <v>9.18</v>
      </c>
      <c r="AM18">
        <v>0.29399999999999998</v>
      </c>
      <c r="AP18">
        <v>14</v>
      </c>
      <c r="AQ18" t="s">
        <v>6</v>
      </c>
      <c r="AR18">
        <v>935.73</v>
      </c>
      <c r="AS18">
        <v>25.3</v>
      </c>
      <c r="AT18">
        <v>9.1590000000000007</v>
      </c>
      <c r="AU18">
        <v>0.26800000000000002</v>
      </c>
    </row>
    <row r="19" spans="2:47" x14ac:dyDescent="0.3">
      <c r="J19">
        <v>15</v>
      </c>
      <c r="K19" t="s">
        <v>8</v>
      </c>
      <c r="L19">
        <v>1592</v>
      </c>
      <c r="M19">
        <v>102.09</v>
      </c>
      <c r="N19">
        <v>39.033999999999999</v>
      </c>
      <c r="O19">
        <v>0.23300000000000001</v>
      </c>
      <c r="Z19">
        <v>15</v>
      </c>
      <c r="AA19" t="s">
        <v>7</v>
      </c>
      <c r="AB19">
        <v>894.12</v>
      </c>
      <c r="AC19">
        <v>89.17</v>
      </c>
      <c r="AD19">
        <v>75.37</v>
      </c>
      <c r="AE19">
        <v>0.79400000000000004</v>
      </c>
      <c r="AH19">
        <v>15</v>
      </c>
      <c r="AI19" t="s">
        <v>7</v>
      </c>
      <c r="AJ19">
        <v>888.85</v>
      </c>
      <c r="AK19">
        <v>80.92</v>
      </c>
      <c r="AL19">
        <v>43.942999999999998</v>
      </c>
      <c r="AM19">
        <v>0.51</v>
      </c>
      <c r="AP19">
        <v>15</v>
      </c>
      <c r="AQ19" t="s">
        <v>7</v>
      </c>
      <c r="AR19">
        <v>916.7</v>
      </c>
      <c r="AS19">
        <v>55.14</v>
      </c>
      <c r="AT19">
        <v>35.207000000000001</v>
      </c>
      <c r="AU19">
        <v>0.6</v>
      </c>
    </row>
    <row r="20" spans="2:47" x14ac:dyDescent="0.3">
      <c r="Z20">
        <v>16</v>
      </c>
      <c r="AA20" t="s">
        <v>6</v>
      </c>
      <c r="AB20">
        <v>917.94</v>
      </c>
      <c r="AC20">
        <v>25.36</v>
      </c>
      <c r="AD20">
        <v>6.133</v>
      </c>
      <c r="AE20">
        <v>0.17899999999999999</v>
      </c>
      <c r="AH20">
        <v>16</v>
      </c>
      <c r="AI20" t="s">
        <v>6</v>
      </c>
      <c r="AJ20">
        <v>922.73</v>
      </c>
      <c r="AK20">
        <v>31</v>
      </c>
      <c r="AL20">
        <v>8.5410000000000004</v>
      </c>
      <c r="AM20">
        <v>0.20399999999999999</v>
      </c>
      <c r="AP20">
        <v>16</v>
      </c>
      <c r="AQ20" t="s">
        <v>6</v>
      </c>
      <c r="AR20">
        <v>876.65</v>
      </c>
      <c r="AS20">
        <v>48.06</v>
      </c>
      <c r="AT20">
        <v>28.713000000000001</v>
      </c>
      <c r="AU20">
        <v>0.44400000000000001</v>
      </c>
    </row>
    <row r="21" spans="2:47" x14ac:dyDescent="0.3">
      <c r="Z21">
        <v>17</v>
      </c>
      <c r="AA21" t="s">
        <v>8</v>
      </c>
      <c r="AB21">
        <v>1059.67</v>
      </c>
      <c r="AC21">
        <v>204.48</v>
      </c>
      <c r="AD21">
        <v>38.423999999999999</v>
      </c>
      <c r="AE21">
        <v>8.8999999999999996E-2</v>
      </c>
      <c r="AH21">
        <v>17</v>
      </c>
      <c r="AI21" t="s">
        <v>8</v>
      </c>
      <c r="AJ21">
        <v>1213.67</v>
      </c>
      <c r="AK21">
        <v>242.48</v>
      </c>
      <c r="AL21">
        <v>19.207000000000001</v>
      </c>
      <c r="AM21">
        <v>0.05</v>
      </c>
      <c r="AP21">
        <v>17</v>
      </c>
      <c r="AQ21" t="s">
        <v>7</v>
      </c>
      <c r="AR21">
        <v>1090.78</v>
      </c>
      <c r="AS21">
        <v>84.16</v>
      </c>
      <c r="AT21">
        <v>6.0979999999999999</v>
      </c>
      <c r="AU21">
        <v>6.8000000000000005E-2</v>
      </c>
    </row>
    <row r="22" spans="2:47" x14ac:dyDescent="0.3">
      <c r="Z22">
        <v>18</v>
      </c>
      <c r="AA22" t="s">
        <v>9</v>
      </c>
      <c r="AB22">
        <v>1418.42</v>
      </c>
      <c r="AC22">
        <v>198.74</v>
      </c>
      <c r="AD22">
        <v>56.87</v>
      </c>
      <c r="AE22">
        <v>0.18099999999999999</v>
      </c>
      <c r="AH22">
        <v>18</v>
      </c>
      <c r="AI22" t="s">
        <v>7</v>
      </c>
      <c r="AJ22">
        <v>1088.44</v>
      </c>
      <c r="AK22">
        <v>105.71</v>
      </c>
      <c r="AL22">
        <v>7.37</v>
      </c>
      <c r="AM22">
        <v>6.5000000000000002E-2</v>
      </c>
      <c r="AP22">
        <v>18</v>
      </c>
      <c r="AQ22" t="s">
        <v>7</v>
      </c>
      <c r="AR22">
        <v>1246.69</v>
      </c>
      <c r="AS22">
        <v>216.25</v>
      </c>
      <c r="AT22">
        <v>15.356999999999999</v>
      </c>
      <c r="AU22">
        <v>6.7000000000000004E-2</v>
      </c>
    </row>
    <row r="23" spans="2:47" x14ac:dyDescent="0.3">
      <c r="C23" s="5" t="s">
        <v>18</v>
      </c>
      <c r="D23" s="5"/>
      <c r="E23" s="5"/>
      <c r="F23" s="5" t="s">
        <v>19</v>
      </c>
      <c r="G23" s="5"/>
      <c r="H23" s="5"/>
      <c r="AH23">
        <v>19</v>
      </c>
      <c r="AI23" t="s">
        <v>9</v>
      </c>
      <c r="AJ23">
        <v>1416.02</v>
      </c>
      <c r="AK23">
        <v>112.68</v>
      </c>
      <c r="AL23">
        <v>18.472999999999999</v>
      </c>
      <c r="AM23">
        <v>0.104</v>
      </c>
      <c r="AP23">
        <v>19</v>
      </c>
      <c r="AQ23" t="s">
        <v>9</v>
      </c>
      <c r="AR23">
        <v>1414.94</v>
      </c>
      <c r="AS23">
        <v>96.87</v>
      </c>
      <c r="AT23">
        <v>29.588000000000001</v>
      </c>
      <c r="AU23">
        <v>0.19400000000000001</v>
      </c>
    </row>
    <row r="24" spans="2:47" x14ac:dyDescent="0.3">
      <c r="C24" s="6"/>
      <c r="D24" s="6" t="s">
        <v>20</v>
      </c>
      <c r="E24" s="6"/>
      <c r="F24" s="6"/>
      <c r="G24" s="6" t="s">
        <v>20</v>
      </c>
      <c r="H24" s="6"/>
    </row>
    <row r="25" spans="2:47" x14ac:dyDescent="0.3">
      <c r="B25" t="s">
        <v>16</v>
      </c>
      <c r="D25">
        <f>SUM(E9:E11)</f>
        <v>17.850000000000001</v>
      </c>
      <c r="G25">
        <f>SUM(E12)</f>
        <v>32.619999999999997</v>
      </c>
    </row>
    <row r="26" spans="2:47" x14ac:dyDescent="0.3">
      <c r="B26" t="s">
        <v>10</v>
      </c>
      <c r="D26">
        <f>SUM(M11)</f>
        <v>113.03</v>
      </c>
      <c r="G26">
        <f>SUM(M12:M15)</f>
        <v>191.4</v>
      </c>
    </row>
    <row r="27" spans="2:47" x14ac:dyDescent="0.3">
      <c r="B27" t="s">
        <v>12</v>
      </c>
      <c r="D27">
        <f>SUM(U11)</f>
        <v>115.94</v>
      </c>
      <c r="G27">
        <f>SUM(U12:U14)</f>
        <v>147.63999999999999</v>
      </c>
    </row>
    <row r="28" spans="2:47" x14ac:dyDescent="0.3">
      <c r="B28" t="s">
        <v>13</v>
      </c>
      <c r="D28">
        <f>SUM(U11)</f>
        <v>115.94</v>
      </c>
      <c r="G28">
        <f>SUM(AC13,AC14,AC16,AC17,AC18,AC19,AC20)</f>
        <v>267.64999999999998</v>
      </c>
    </row>
    <row r="29" spans="2:47" x14ac:dyDescent="0.3">
      <c r="B29" t="s">
        <v>15</v>
      </c>
      <c r="D29">
        <f>SUM(AK12,AK13,AK14,AK15)</f>
        <v>113.22</v>
      </c>
    </row>
    <row r="30" spans="2:47" x14ac:dyDescent="0.3">
      <c r="B30" t="s">
        <v>14</v>
      </c>
      <c r="D30">
        <f>SUM(AS12,AS13,AS14,AS15)</f>
        <v>113.05</v>
      </c>
    </row>
  </sheetData>
  <mergeCells count="10">
    <mergeCell ref="C16:C17"/>
    <mergeCell ref="C23:E23"/>
    <mergeCell ref="F23:H23"/>
    <mergeCell ref="B2:AU2"/>
    <mergeCell ref="J3:O3"/>
    <mergeCell ref="B3:G3"/>
    <mergeCell ref="R3:W3"/>
    <mergeCell ref="Z3:AE3"/>
    <mergeCell ref="AP3:AU3"/>
    <mergeCell ref="AH3:AM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7BB1890-799A-4801-933F-D2BC5CF3B2F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Parameters Combined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Jaime Lopez</cp:lastModifiedBy>
  <dcterms:created xsi:type="dcterms:W3CDTF">2025-08-14T22:30:53Z</dcterms:created>
  <dcterms:modified xsi:type="dcterms:W3CDTF">2025-08-15T13:14:05Z</dcterms:modified>
</cp:coreProperties>
</file>